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ehu_chahal/Desktop/proposal dataset/"/>
    </mc:Choice>
  </mc:AlternateContent>
  <xr:revisionPtr revIDLastSave="0" documentId="13_ncr:1_{BD48957B-C31E-0D49-9A52-8A2D324C83B2}" xr6:coauthVersionLast="47" xr6:coauthVersionMax="47" xr10:uidLastSave="{00000000-0000-0000-0000-000000000000}"/>
  <bookViews>
    <workbookView minimized="1" xWindow="0" yWindow="500" windowWidth="28800" windowHeight="16080" xr2:uid="{62326BDE-A9F4-DC44-BF66-8F0B028F4BCF}"/>
  </bookViews>
  <sheets>
    <sheet name="Sheet1" sheetId="1" r:id="rId1"/>
  </sheets>
  <definedNames>
    <definedName name="_xlchart.v1.0" hidden="1">Sheet1!$F$1</definedName>
    <definedName name="_xlchart.v1.1" hidden="1">Sheet1!$F$2:$F$137</definedName>
    <definedName name="_xlchart.v1.10" hidden="1">Sheet1!$H$1</definedName>
    <definedName name="_xlchart.v1.11" hidden="1">Sheet1!$H$2:$H$137</definedName>
    <definedName name="_xlchart.v1.2" hidden="1">Sheet1!$G$1</definedName>
    <definedName name="_xlchart.v1.3" hidden="1">Sheet1!$G$2:$G$137</definedName>
    <definedName name="_xlchart.v1.4" hidden="1">Sheet1!$H$1</definedName>
    <definedName name="_xlchart.v1.5" hidden="1">Sheet1!$H$2:$H$137</definedName>
    <definedName name="_xlchart.v1.6" hidden="1">Sheet1!$F$1</definedName>
    <definedName name="_xlchart.v1.7" hidden="1">Sheet1!$F$2:$F$137</definedName>
    <definedName name="_xlchart.v1.8" hidden="1">Sheet1!$G$1</definedName>
    <definedName name="_xlchart.v1.9" hidden="1">Sheet1!$G$2:$G$137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6" i="1" l="1"/>
  <c r="H116" i="1"/>
  <c r="C116" i="1"/>
  <c r="E82" i="1"/>
  <c r="C82" i="1"/>
  <c r="E48" i="1"/>
  <c r="C48" i="1"/>
  <c r="E14" i="1"/>
  <c r="G2" i="1" s="1" a="1"/>
  <c r="G2" i="1" s="1"/>
  <c r="C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<sst xmlns="http://schemas.openxmlformats.org/spreadsheetml/2006/main" count="143" uniqueCount="41">
  <si>
    <t>Year</t>
  </si>
  <si>
    <t>State</t>
  </si>
  <si>
    <t>Enrollment</t>
  </si>
  <si>
    <t>Dropout</t>
  </si>
  <si>
    <t>Internet_Access</t>
  </si>
  <si>
    <t>Per_Capita_Income</t>
  </si>
  <si>
    <t>Andaman</t>
  </si>
  <si>
    <t>Andhra</t>
  </si>
  <si>
    <t>Arunachal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</si>
  <si>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</si>
  <si>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</si>
  <si>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</si>
  <si>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</si>
  <si>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</si>
  <si>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</si>
  <si>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</si>
  <si>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</si>
  <si>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</t>
  </si>
  <si>
    <t>Jammu and Kashmir</t>
  </si>
  <si>
    <t>Jharkhand</t>
  </si>
  <si>
    <t>Karnataka</t>
  </si>
  <si>
    <t>Kerala</t>
  </si>
  <si>
    <t>Lakshadweep</t>
  </si>
  <si>
    <t>Madhya Pardesh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</si>
  <si>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</si>
  <si>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</si>
  <si>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</si>
  <si>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</si>
  <si>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</si>
  <si>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</si>
  <si>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</si>
  <si>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</si>
  <si>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</si>
  <si>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</si>
  <si>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</si>
  <si>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</si>
  <si>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</si>
  <si>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</si>
  <si>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</si>
  <si>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</si>
  <si>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log_Internet_Access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</si>
</sst>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rgb="FF141413"/>
      <name val="Times New Roman"/>
      <family val="1"/>
    </font>
    <font>
      <sz val="14"/>
      <color rgb="FF000000"/>
      <name val="Times New Roman"/>
      <family val="1"/>
    </font>
    <font>
      <sz val="14"/>
      <color rgb="FF202122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5" fillId="0" borderId="0" xfId="0" applyNumberFormat="1" applyFont="1"/>
    <xf numFmtId="3" fontId="3" fillId="0" borderId="0" xfId="0" applyNumberFormat="1" applyFont="1"/>
    <xf numFmtId="0" fontId="6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EB1C-021A-AE45-808C-3DBDD03E305B}">
  <dimension ref="A1:H137"/>
  <sheetViews>
    <sheetView tabSelected="1" workbookViewId="0">
      <selection activeCell="J116" sqref="J116"/>
    </sheetView>
  </sheetViews>
  <sheetFormatPr baseColWidth="10" defaultRowHeight="16" x14ac:dyDescent="0.2"/>
  <cols>
    <col min="5" max="5" width="14.83203125" bestFit="1" customWidth="1"/>
    <col min="6" max="6" width="18.33203125" bestFit="1" customWidth="1"/>
    <col min="7" max="7" width="18.5" style="9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E1" s="1" t="s">
        <v>4</v>
      </c>
      <c r="F1" s="1" t="s">
        <v>5</v>
      </c>
      <c r="G1" s="8" t="s">
        <v>40</v>
      </c>
      <c r="H1" s="1" t="s">
        <v>3</v>
      </c>
    </row>
    <row r="2" spans="1:8" ht="18" x14ac:dyDescent="0.2">
      <c r="A2" s="2">
        <v>2018</v>
      </c>
      <c r="B2" s="3" t="s">
        <v>6</v>
      </c>
      <c r="C2" s="4">
        <v>52745</v>
      </c>
      <c r="E2" s="4">
        <v>414</v>
      </c>
      <c r="F2" s="5">
        <v>204254</v>
      </c>
      <c r="G2" s="9" cm="1">
        <f t="array" ref="G2:G137">LOG10(E2:E137)</f>
        <v>2.6170003411208991</v>
      </c>
      <c r="H2" s="4">
        <v>22.2</v>
      </c>
    </row>
    <row r="3" spans="1:8" ht="18" x14ac:dyDescent="0.2">
      <c r="A3" s="2">
        <v>2018</v>
      </c>
      <c r="B3" s="3" t="s">
        <v>7</v>
      </c>
      <c r="C3" s="4">
        <v>3897043</v>
      </c>
      <c r="E3" s="4">
        <v>63621</v>
      </c>
      <c r="F3" s="5">
        <v>154031</v>
      </c>
      <c r="G3" s="9">
        <v>4.8036004911006236</v>
      </c>
      <c r="H3" s="4">
        <v>16.399999999999999</v>
      </c>
    </row>
    <row r="4" spans="1:8" ht="18" x14ac:dyDescent="0.2">
      <c r="A4" s="2">
        <v>2018</v>
      </c>
      <c r="B4" s="3" t="s">
        <v>8</v>
      </c>
      <c r="C4" s="4">
        <v>226114</v>
      </c>
      <c r="E4" s="4">
        <v>3793</v>
      </c>
      <c r="F4" s="5">
        <v>155103</v>
      </c>
      <c r="G4" s="9">
        <v>3.5789828427027905</v>
      </c>
      <c r="H4" s="4">
        <v>36</v>
      </c>
    </row>
    <row r="5" spans="1:8" ht="18" x14ac:dyDescent="0.2">
      <c r="A5" s="2">
        <v>2018</v>
      </c>
      <c r="B5" s="3" t="s">
        <v>9</v>
      </c>
      <c r="C5" s="4">
        <v>5065520</v>
      </c>
      <c r="E5" s="4">
        <v>66324</v>
      </c>
      <c r="F5" s="5">
        <v>81034</v>
      </c>
      <c r="G5" s="9">
        <v>4.8216707106293999</v>
      </c>
      <c r="H5" s="4">
        <v>31.5</v>
      </c>
    </row>
    <row r="6" spans="1:8" ht="18" x14ac:dyDescent="0.2">
      <c r="A6" s="2">
        <v>2018</v>
      </c>
      <c r="B6" s="3" t="s">
        <v>10</v>
      </c>
      <c r="C6" s="4">
        <v>19851353</v>
      </c>
      <c r="E6" s="4">
        <v>89224</v>
      </c>
      <c r="F6" s="5">
        <v>40715</v>
      </c>
      <c r="G6" s="9">
        <v>4.9504816891923866</v>
      </c>
      <c r="H6" s="4">
        <v>28.5</v>
      </c>
    </row>
    <row r="7" spans="1:8" ht="18" x14ac:dyDescent="0.2">
      <c r="A7" s="2">
        <v>2018</v>
      </c>
      <c r="B7" s="3" t="s">
        <v>11</v>
      </c>
      <c r="C7" s="4">
        <v>156895</v>
      </c>
      <c r="E7" s="4">
        <v>229</v>
      </c>
      <c r="F7" s="5">
        <v>307812</v>
      </c>
      <c r="G7" s="9">
        <v>2.3598354823398879</v>
      </c>
      <c r="H7" s="4">
        <v>4.5</v>
      </c>
    </row>
    <row r="8" spans="1:8" ht="18" x14ac:dyDescent="0.2">
      <c r="A8" s="2">
        <v>2018</v>
      </c>
      <c r="B8" s="3" t="s">
        <v>12</v>
      </c>
      <c r="C8" s="4">
        <v>4120334</v>
      </c>
      <c r="E8" s="4">
        <v>56274</v>
      </c>
      <c r="F8" s="5">
        <v>102024</v>
      </c>
      <c r="G8" s="9">
        <v>4.7503077862431375</v>
      </c>
      <c r="H8" s="4">
        <v>19.8</v>
      </c>
    </row>
    <row r="9" spans="1:8" ht="18" x14ac:dyDescent="0.2">
      <c r="A9" s="2">
        <v>2018</v>
      </c>
      <c r="B9" s="3" t="s">
        <v>13</v>
      </c>
      <c r="C9" s="4">
        <v>2377476</v>
      </c>
      <c r="E9" s="4">
        <v>5703</v>
      </c>
      <c r="F9" s="5">
        <v>338730</v>
      </c>
      <c r="G9" s="9">
        <v>3.7561033715851058</v>
      </c>
      <c r="H9" s="4">
        <v>14.9</v>
      </c>
    </row>
    <row r="10" spans="1:8" ht="18" x14ac:dyDescent="0.2">
      <c r="A10" s="2">
        <v>2018</v>
      </c>
      <c r="B10" s="3" t="s">
        <v>14</v>
      </c>
      <c r="C10" s="4">
        <v>44496</v>
      </c>
      <c r="E10" s="4">
        <v>1486</v>
      </c>
      <c r="F10" s="5">
        <v>423716</v>
      </c>
      <c r="G10" s="9">
        <v>3.1720188094245563</v>
      </c>
      <c r="H10" s="4">
        <v>9.4</v>
      </c>
    </row>
    <row r="11" spans="1:8" ht="18" x14ac:dyDescent="0.2">
      <c r="A11" s="2">
        <v>2018</v>
      </c>
      <c r="B11" s="3" t="s">
        <v>15</v>
      </c>
      <c r="C11" s="4">
        <v>5429274</v>
      </c>
      <c r="E11" s="4">
        <v>54581</v>
      </c>
      <c r="F11" s="5">
        <v>197457</v>
      </c>
      <c r="G11" s="9">
        <v>4.7370414882870371</v>
      </c>
      <c r="H11" s="4">
        <v>23.8</v>
      </c>
    </row>
    <row r="12" spans="1:8" ht="18" x14ac:dyDescent="0.2">
      <c r="A12" s="2">
        <v>2018</v>
      </c>
      <c r="B12" s="3" t="s">
        <v>16</v>
      </c>
      <c r="C12" s="4">
        <v>2149543</v>
      </c>
      <c r="E12" s="4">
        <v>23534</v>
      </c>
      <c r="F12" s="5">
        <v>223022</v>
      </c>
      <c r="G12" s="9">
        <v>4.3716957491177091</v>
      </c>
      <c r="H12" s="4">
        <v>14.8</v>
      </c>
    </row>
    <row r="13" spans="1:8" ht="18" x14ac:dyDescent="0.2">
      <c r="A13" s="2">
        <v>2018</v>
      </c>
      <c r="B13" s="3" t="s">
        <v>17</v>
      </c>
      <c r="C13" s="4">
        <v>854569</v>
      </c>
      <c r="E13" s="4">
        <v>18212</v>
      </c>
      <c r="F13" s="5">
        <v>174804</v>
      </c>
      <c r="G13" s="9">
        <v>4.2603576416361522</v>
      </c>
      <c r="H13" s="4">
        <v>7.8</v>
      </c>
    </row>
    <row r="14" spans="1:8" ht="18" x14ac:dyDescent="0.2">
      <c r="A14" s="2">
        <v>2018</v>
      </c>
      <c r="B14" s="3" t="s">
        <v>18</v>
      </c>
      <c r="C14" s="4">
        <f>27237+1318292</f>
        <v>1345529</v>
      </c>
      <c r="E14" s="4">
        <f>1054+28654</f>
        <v>29708</v>
      </c>
      <c r="F14" s="5">
        <v>98738</v>
      </c>
      <c r="G14" s="9">
        <v>4.4728734152435603</v>
      </c>
      <c r="H14" s="4">
        <v>17.8</v>
      </c>
    </row>
    <row r="15" spans="1:8" ht="18" x14ac:dyDescent="0.2">
      <c r="A15" s="2">
        <v>2018</v>
      </c>
      <c r="B15" s="3" t="s">
        <v>19</v>
      </c>
      <c r="C15" s="4">
        <v>4993773</v>
      </c>
      <c r="E15" s="4">
        <v>45908</v>
      </c>
      <c r="F15" s="5">
        <v>75421</v>
      </c>
      <c r="G15" s="9">
        <v>4.6618883729689449</v>
      </c>
      <c r="H15" s="4">
        <v>22.3</v>
      </c>
    </row>
    <row r="16" spans="1:8" ht="18" x14ac:dyDescent="0.2">
      <c r="A16" s="2">
        <v>2018</v>
      </c>
      <c r="B16" s="3" t="s">
        <v>20</v>
      </c>
      <c r="C16" s="4">
        <v>4951087</v>
      </c>
      <c r="E16" s="4">
        <v>78233</v>
      </c>
      <c r="F16" s="5">
        <v>205245</v>
      </c>
      <c r="G16" s="9">
        <v>4.8933899844511197</v>
      </c>
      <c r="H16" s="4">
        <v>23.4</v>
      </c>
    </row>
    <row r="17" spans="1:8" ht="18" x14ac:dyDescent="0.2">
      <c r="A17" s="2">
        <v>2018</v>
      </c>
      <c r="B17" s="3" t="s">
        <v>21</v>
      </c>
      <c r="C17" s="4">
        <v>1682669</v>
      </c>
      <c r="E17" s="4">
        <v>16701</v>
      </c>
      <c r="F17" s="5">
        <v>205437</v>
      </c>
      <c r="G17" s="9">
        <v>4.2227424760266006</v>
      </c>
      <c r="H17" s="4">
        <v>9.1</v>
      </c>
    </row>
    <row r="18" spans="1:8" ht="18" x14ac:dyDescent="0.2">
      <c r="A18" s="2">
        <v>2018</v>
      </c>
      <c r="B18" s="3" t="s">
        <v>22</v>
      </c>
      <c r="C18" s="4">
        <v>12803</v>
      </c>
      <c r="E18" s="4">
        <v>4445</v>
      </c>
      <c r="F18" s="6">
        <v>167040</v>
      </c>
      <c r="G18" s="9">
        <v>3.6478717653062325</v>
      </c>
      <c r="H18" s="4">
        <v>4.5999999999999996</v>
      </c>
    </row>
    <row r="19" spans="1:8" ht="18" x14ac:dyDescent="0.2">
      <c r="A19" s="2">
        <v>2018</v>
      </c>
      <c r="B19" s="3" t="s">
        <v>23</v>
      </c>
      <c r="C19" s="4">
        <v>9285196</v>
      </c>
      <c r="E19" s="4">
        <v>154064</v>
      </c>
      <c r="F19" s="5">
        <v>92337</v>
      </c>
      <c r="G19" s="9">
        <v>5.1877011693617154</v>
      </c>
      <c r="H19" s="4">
        <v>24.9</v>
      </c>
    </row>
    <row r="20" spans="1:8" ht="18" x14ac:dyDescent="0.2">
      <c r="A20" s="2">
        <v>2018</v>
      </c>
      <c r="B20" s="3" t="s">
        <v>24</v>
      </c>
      <c r="C20" s="4">
        <v>5771908</v>
      </c>
      <c r="E20" s="4">
        <v>109942</v>
      </c>
      <c r="F20" s="5">
        <v>182865</v>
      </c>
      <c r="G20" s="9">
        <v>5.0411636331305605</v>
      </c>
      <c r="H20" s="4">
        <v>13.3</v>
      </c>
    </row>
    <row r="21" spans="1:8" ht="18" x14ac:dyDescent="0.2">
      <c r="A21" s="2">
        <v>2018</v>
      </c>
      <c r="B21" s="3" t="s">
        <v>25</v>
      </c>
      <c r="C21" s="4">
        <v>201236</v>
      </c>
      <c r="E21" s="4">
        <v>4844</v>
      </c>
      <c r="F21" s="5">
        <v>73795</v>
      </c>
      <c r="G21" s="9">
        <v>3.6852041344710145</v>
      </c>
      <c r="H21" s="4">
        <v>13</v>
      </c>
    </row>
    <row r="22" spans="1:8" ht="18" x14ac:dyDescent="0.2">
      <c r="A22" s="2">
        <v>2018</v>
      </c>
      <c r="B22" s="3" t="s">
        <v>26</v>
      </c>
      <c r="C22" s="4">
        <v>478172</v>
      </c>
      <c r="E22" s="4">
        <v>14669</v>
      </c>
      <c r="F22" s="5">
        <v>88954</v>
      </c>
      <c r="G22" s="9">
        <v>4.1664005085750686</v>
      </c>
      <c r="H22" s="4">
        <v>19.5</v>
      </c>
    </row>
    <row r="23" spans="1:8" ht="18" x14ac:dyDescent="0.2">
      <c r="A23" s="2">
        <v>2018</v>
      </c>
      <c r="B23" s="3" t="s">
        <v>27</v>
      </c>
      <c r="C23" s="4">
        <v>130744</v>
      </c>
      <c r="E23" s="4">
        <v>3913</v>
      </c>
      <c r="F23" s="5">
        <v>164708</v>
      </c>
      <c r="G23" s="9">
        <v>3.5925098479006801</v>
      </c>
      <c r="H23" s="4">
        <v>10.6</v>
      </c>
    </row>
    <row r="24" spans="1:8" ht="18" x14ac:dyDescent="0.2">
      <c r="A24" s="2">
        <v>2018</v>
      </c>
      <c r="B24" s="3" t="s">
        <v>28</v>
      </c>
      <c r="C24" s="4">
        <v>179079</v>
      </c>
      <c r="E24" s="4">
        <v>2752</v>
      </c>
      <c r="F24" s="5">
        <v>109198</v>
      </c>
      <c r="G24" s="9">
        <v>3.4396484295634737</v>
      </c>
      <c r="H24" s="4">
        <v>24.1</v>
      </c>
    </row>
    <row r="25" spans="1:8" ht="18" x14ac:dyDescent="0.2">
      <c r="A25" s="2">
        <v>2018</v>
      </c>
      <c r="B25" s="3" t="s">
        <v>29</v>
      </c>
      <c r="C25" s="4">
        <v>5508288</v>
      </c>
      <c r="E25" s="4">
        <v>68717</v>
      </c>
      <c r="F25" s="5">
        <v>98005</v>
      </c>
      <c r="G25" s="9">
        <v>4.8370641911042469</v>
      </c>
      <c r="H25" s="4">
        <v>9.5</v>
      </c>
    </row>
    <row r="26" spans="1:8" ht="18" x14ac:dyDescent="0.2">
      <c r="A26" s="2">
        <v>2018</v>
      </c>
      <c r="B26" s="3" t="s">
        <v>30</v>
      </c>
      <c r="C26" s="4">
        <v>83589</v>
      </c>
      <c r="E26" s="4">
        <v>739</v>
      </c>
      <c r="F26" s="5">
        <v>204140</v>
      </c>
      <c r="G26" s="9">
        <v>2.8686444383948255</v>
      </c>
      <c r="H26" s="4">
        <v>12.7</v>
      </c>
    </row>
    <row r="27" spans="1:8" ht="18" x14ac:dyDescent="0.2">
      <c r="A27" s="2">
        <v>2018</v>
      </c>
      <c r="B27" s="3" t="s">
        <v>31</v>
      </c>
      <c r="C27" s="4">
        <v>2475916</v>
      </c>
      <c r="E27" s="4">
        <v>28637</v>
      </c>
      <c r="F27" s="5">
        <v>149974</v>
      </c>
      <c r="G27" s="9">
        <v>4.4569275195126306</v>
      </c>
      <c r="H27" s="4">
        <v>11.5</v>
      </c>
    </row>
    <row r="28" spans="1:8" ht="18" x14ac:dyDescent="0.2">
      <c r="A28" s="2">
        <v>2018</v>
      </c>
      <c r="B28" s="3" t="s">
        <v>32</v>
      </c>
      <c r="C28" s="4">
        <v>8490185</v>
      </c>
      <c r="E28" s="4">
        <v>105883</v>
      </c>
      <c r="F28" s="5">
        <v>106604</v>
      </c>
      <c r="G28" s="9">
        <v>5.0248262377387567</v>
      </c>
      <c r="H28" s="4">
        <v>12.7</v>
      </c>
    </row>
    <row r="29" spans="1:8" ht="18" x14ac:dyDescent="0.2">
      <c r="A29" s="2">
        <v>2018</v>
      </c>
      <c r="B29" s="3" t="s">
        <v>33</v>
      </c>
      <c r="C29" s="4">
        <v>94513</v>
      </c>
      <c r="E29" s="4">
        <v>1290</v>
      </c>
      <c r="F29" s="5">
        <v>375773</v>
      </c>
      <c r="G29" s="9">
        <v>3.1105897102992488</v>
      </c>
      <c r="H29" s="4">
        <v>23.7</v>
      </c>
    </row>
    <row r="30" spans="1:8" ht="18" x14ac:dyDescent="0.2">
      <c r="A30" s="2">
        <v>2018</v>
      </c>
      <c r="B30" s="3" t="s">
        <v>34</v>
      </c>
      <c r="C30" s="4">
        <v>4589477</v>
      </c>
      <c r="E30" s="4">
        <v>59152</v>
      </c>
      <c r="F30" s="5">
        <v>194373</v>
      </c>
      <c r="G30" s="9">
        <v>4.7719694332290317</v>
      </c>
      <c r="H30" s="4">
        <v>13</v>
      </c>
    </row>
    <row r="31" spans="1:8" ht="18" x14ac:dyDescent="0.2">
      <c r="A31" s="2">
        <v>2018</v>
      </c>
      <c r="B31" s="3" t="s">
        <v>35</v>
      </c>
      <c r="C31" s="4">
        <v>2823888</v>
      </c>
      <c r="E31" s="4">
        <v>42355</v>
      </c>
      <c r="F31" s="5">
        <v>209848</v>
      </c>
      <c r="G31" s="9">
        <v>4.6269046860771983</v>
      </c>
      <c r="H31" s="4">
        <v>13.5</v>
      </c>
    </row>
    <row r="32" spans="1:8" ht="18" x14ac:dyDescent="0.2">
      <c r="A32" s="2">
        <v>2018</v>
      </c>
      <c r="B32" s="3" t="s">
        <v>36</v>
      </c>
      <c r="C32" s="4">
        <v>571868</v>
      </c>
      <c r="E32" s="4">
        <v>4945</v>
      </c>
      <c r="F32" s="5">
        <v>113016</v>
      </c>
      <c r="G32" s="9">
        <v>3.694166295933198</v>
      </c>
      <c r="H32" s="4">
        <v>29.6</v>
      </c>
    </row>
    <row r="33" spans="1:8" ht="18" x14ac:dyDescent="0.2">
      <c r="A33" s="2">
        <v>2018</v>
      </c>
      <c r="B33" s="3" t="s">
        <v>37</v>
      </c>
      <c r="C33" s="4">
        <v>16896167</v>
      </c>
      <c r="E33" s="4">
        <v>273235</v>
      </c>
      <c r="F33" s="5">
        <v>62350</v>
      </c>
      <c r="G33" s="9">
        <v>5.4365363294651479</v>
      </c>
      <c r="H33" s="4">
        <v>15.5</v>
      </c>
    </row>
    <row r="34" spans="1:8" ht="18" x14ac:dyDescent="0.2">
      <c r="A34" s="2">
        <v>2018</v>
      </c>
      <c r="B34" s="3" t="s">
        <v>38</v>
      </c>
      <c r="C34" s="4">
        <v>968230</v>
      </c>
      <c r="E34" s="4">
        <v>23559</v>
      </c>
      <c r="F34" s="5">
        <v>186207</v>
      </c>
      <c r="G34" s="9">
        <v>4.3721568521719849</v>
      </c>
      <c r="H34" s="4">
        <v>11</v>
      </c>
    </row>
    <row r="35" spans="1:8" ht="18" x14ac:dyDescent="0.2">
      <c r="A35" s="2">
        <v>2018</v>
      </c>
      <c r="B35" s="3" t="s">
        <v>39</v>
      </c>
      <c r="C35" s="4">
        <v>15274308</v>
      </c>
      <c r="E35" s="4">
        <v>97828</v>
      </c>
      <c r="F35" s="5">
        <v>103920</v>
      </c>
      <c r="G35" s="9">
        <v>4.9904631748805972</v>
      </c>
      <c r="H35" s="4">
        <v>19.5</v>
      </c>
    </row>
    <row r="36" spans="1:8" ht="18" x14ac:dyDescent="0.2">
      <c r="A36" s="2">
        <v>2019</v>
      </c>
      <c r="B36" s="3" t="s">
        <v>6</v>
      </c>
      <c r="C36" s="7">
        <v>31898</v>
      </c>
      <c r="E36" s="7">
        <v>4153</v>
      </c>
      <c r="F36" s="5">
        <v>219653</v>
      </c>
      <c r="G36" s="9">
        <v>3.6183619311098782</v>
      </c>
      <c r="H36" s="4">
        <v>15.7</v>
      </c>
    </row>
    <row r="37" spans="1:8" ht="18" x14ac:dyDescent="0.2">
      <c r="A37" s="2">
        <v>2019</v>
      </c>
      <c r="B37" s="3" t="s">
        <v>7</v>
      </c>
      <c r="C37" s="7">
        <v>3033331</v>
      </c>
      <c r="E37" s="7">
        <v>299388</v>
      </c>
      <c r="F37" s="5">
        <v>160341</v>
      </c>
      <c r="G37" s="9">
        <v>5.4762343890657332</v>
      </c>
      <c r="H37" s="4">
        <v>14.8</v>
      </c>
    </row>
    <row r="38" spans="1:8" ht="18" x14ac:dyDescent="0.2">
      <c r="A38" s="2">
        <v>2019</v>
      </c>
      <c r="B38" s="3" t="s">
        <v>8</v>
      </c>
      <c r="C38" s="7">
        <v>155697</v>
      </c>
      <c r="E38" s="7">
        <v>28286</v>
      </c>
      <c r="F38" s="5">
        <v>182171</v>
      </c>
      <c r="G38" s="9">
        <v>4.4515715370380677</v>
      </c>
      <c r="H38" s="4">
        <v>34.299999999999997</v>
      </c>
    </row>
    <row r="39" spans="1:8" ht="18" x14ac:dyDescent="0.2">
      <c r="A39" s="2">
        <v>2019</v>
      </c>
      <c r="B39" s="3" t="s">
        <v>9</v>
      </c>
      <c r="C39" s="7">
        <v>3880173</v>
      </c>
      <c r="E39" s="7">
        <v>213904</v>
      </c>
      <c r="F39" s="5">
        <v>90123</v>
      </c>
      <c r="G39" s="9">
        <v>5.3302189059445286</v>
      </c>
      <c r="H39" s="4">
        <v>32.299999999999997</v>
      </c>
    </row>
    <row r="40" spans="1:8" ht="18" x14ac:dyDescent="0.2">
      <c r="A40" s="2">
        <v>2019</v>
      </c>
      <c r="B40" s="3" t="s">
        <v>10</v>
      </c>
      <c r="C40" s="7">
        <v>15893345</v>
      </c>
      <c r="E40" s="7">
        <v>347963</v>
      </c>
      <c r="F40" s="5">
        <v>44175</v>
      </c>
      <c r="G40" s="9">
        <v>5.5415330665036837</v>
      </c>
      <c r="H40" s="4">
        <v>21.4</v>
      </c>
    </row>
    <row r="41" spans="1:8" ht="18" x14ac:dyDescent="0.2">
      <c r="A41" s="2">
        <v>2019</v>
      </c>
      <c r="B41" s="3" t="s">
        <v>11</v>
      </c>
      <c r="C41" s="7">
        <v>95688</v>
      </c>
      <c r="E41" s="7">
        <v>455</v>
      </c>
      <c r="F41" s="5">
        <v>330703</v>
      </c>
      <c r="G41" s="9">
        <v>2.6580113966571126</v>
      </c>
      <c r="H41" s="4">
        <v>4.7</v>
      </c>
    </row>
    <row r="42" spans="1:8" ht="18" x14ac:dyDescent="0.2">
      <c r="A42" s="2">
        <v>2019</v>
      </c>
      <c r="B42" s="3" t="s">
        <v>12</v>
      </c>
      <c r="C42" s="7">
        <v>2829468</v>
      </c>
      <c r="E42" s="7">
        <v>257760</v>
      </c>
      <c r="F42" s="5">
        <v>106611</v>
      </c>
      <c r="G42" s="9">
        <v>5.4112155230751426</v>
      </c>
      <c r="H42" s="4">
        <v>18.3</v>
      </c>
    </row>
    <row r="43" spans="1:8" ht="18" x14ac:dyDescent="0.2">
      <c r="A43" s="2">
        <v>2019</v>
      </c>
      <c r="B43" s="3" t="s">
        <v>13</v>
      </c>
      <c r="C43" s="7">
        <v>1533188</v>
      </c>
      <c r="E43" s="7">
        <v>340798</v>
      </c>
      <c r="F43" s="5">
        <v>355798</v>
      </c>
      <c r="G43" s="9">
        <v>5.5324970374106472</v>
      </c>
      <c r="H43" s="4">
        <v>13.8</v>
      </c>
    </row>
    <row r="44" spans="1:8" ht="18" x14ac:dyDescent="0.2">
      <c r="A44" s="2">
        <v>2019</v>
      </c>
      <c r="B44" s="3" t="s">
        <v>14</v>
      </c>
      <c r="C44" s="7">
        <v>33051</v>
      </c>
      <c r="E44" s="7">
        <v>27627</v>
      </c>
      <c r="F44" s="5">
        <v>435949</v>
      </c>
      <c r="G44" s="9">
        <v>4.4413337276894813</v>
      </c>
      <c r="H44" s="4">
        <v>10.199999999999999</v>
      </c>
    </row>
    <row r="45" spans="1:8" ht="18" x14ac:dyDescent="0.2">
      <c r="A45" s="2">
        <v>2019</v>
      </c>
      <c r="B45" s="3" t="s">
        <v>15</v>
      </c>
      <c r="C45" s="7">
        <v>5078300</v>
      </c>
      <c r="E45" s="7">
        <v>323631</v>
      </c>
      <c r="F45" s="5">
        <v>212428</v>
      </c>
      <c r="G45" s="9">
        <v>5.5100501151779193</v>
      </c>
      <c r="H45" s="4">
        <v>23.7</v>
      </c>
    </row>
    <row r="46" spans="1:8" ht="18" x14ac:dyDescent="0.2">
      <c r="A46" s="2">
        <v>2019</v>
      </c>
      <c r="B46" s="3" t="s">
        <v>16</v>
      </c>
      <c r="C46" s="7">
        <v>1483287</v>
      </c>
      <c r="E46" s="7">
        <v>196853</v>
      </c>
      <c r="F46" s="5">
        <v>232530</v>
      </c>
      <c r="G46" s="9">
        <v>5.2941420377369557</v>
      </c>
      <c r="H46" s="4">
        <v>13.3</v>
      </c>
    </row>
    <row r="47" spans="1:8" ht="18" x14ac:dyDescent="0.2">
      <c r="A47" s="2">
        <v>2019</v>
      </c>
      <c r="B47" s="3" t="s">
        <v>17</v>
      </c>
      <c r="C47" s="7">
        <v>503178</v>
      </c>
      <c r="E47" s="7">
        <v>36317</v>
      </c>
      <c r="F47" s="5">
        <v>186559</v>
      </c>
      <c r="G47" s="9">
        <v>4.5601099660258875</v>
      </c>
      <c r="H47" s="4">
        <v>7.2</v>
      </c>
    </row>
    <row r="48" spans="1:8" ht="18" x14ac:dyDescent="0.2">
      <c r="A48" s="2">
        <v>2019</v>
      </c>
      <c r="B48" s="3" t="s">
        <v>18</v>
      </c>
      <c r="C48" s="7">
        <f>14495+839105</f>
        <v>853600</v>
      </c>
      <c r="E48" s="7">
        <f>1146+81109</f>
        <v>82255</v>
      </c>
      <c r="F48" s="5">
        <v>101868</v>
      </c>
      <c r="G48" s="9">
        <v>4.915162306699945</v>
      </c>
      <c r="H48" s="4">
        <v>16.7</v>
      </c>
    </row>
    <row r="49" spans="1:8" ht="18" x14ac:dyDescent="0.2">
      <c r="A49" s="2">
        <v>2019</v>
      </c>
      <c r="B49" s="3" t="s">
        <v>19</v>
      </c>
      <c r="C49" s="7">
        <v>3836457</v>
      </c>
      <c r="E49" s="7">
        <v>200155</v>
      </c>
      <c r="F49" s="5">
        <v>75016</v>
      </c>
      <c r="G49" s="9">
        <v>5.3013664435307408</v>
      </c>
      <c r="H49" s="4">
        <v>16.600000000000001</v>
      </c>
    </row>
    <row r="50" spans="1:8" ht="18" x14ac:dyDescent="0.2">
      <c r="A50" s="2">
        <v>2019</v>
      </c>
      <c r="B50" s="3" t="s">
        <v>20</v>
      </c>
      <c r="C50" s="7">
        <v>3903754</v>
      </c>
      <c r="E50" s="7">
        <v>323579</v>
      </c>
      <c r="F50" s="5">
        <v>222141</v>
      </c>
      <c r="G50" s="9">
        <v>5.5099803285148337</v>
      </c>
      <c r="H50" s="4">
        <v>16.8</v>
      </c>
    </row>
    <row r="51" spans="1:8" ht="18" x14ac:dyDescent="0.2">
      <c r="A51" s="2">
        <v>2019</v>
      </c>
      <c r="B51" s="3" t="s">
        <v>21</v>
      </c>
      <c r="C51" s="7">
        <v>931029</v>
      </c>
      <c r="E51" s="7">
        <v>227763</v>
      </c>
      <c r="F51" s="5">
        <v>208879</v>
      </c>
      <c r="G51" s="9">
        <v>5.3574831745238001</v>
      </c>
      <c r="H51" s="4">
        <v>7.9</v>
      </c>
    </row>
    <row r="52" spans="1:8" ht="18" x14ac:dyDescent="0.2">
      <c r="A52" s="2">
        <v>2019</v>
      </c>
      <c r="B52" s="3" t="s">
        <v>22</v>
      </c>
      <c r="C52" s="7">
        <v>7643</v>
      </c>
      <c r="E52" s="7">
        <v>29908</v>
      </c>
      <c r="F52" s="6">
        <v>179990</v>
      </c>
      <c r="G52" s="9">
        <v>4.4757873719746417</v>
      </c>
      <c r="H52" s="4">
        <v>6.7</v>
      </c>
    </row>
    <row r="53" spans="1:8" ht="18" x14ac:dyDescent="0.2">
      <c r="A53" s="2">
        <v>2019</v>
      </c>
      <c r="B53" s="3" t="s">
        <v>23</v>
      </c>
      <c r="C53" s="7">
        <v>6677634</v>
      </c>
      <c r="E53" s="7">
        <v>276707</v>
      </c>
      <c r="F53" s="5">
        <v>101909</v>
      </c>
      <c r="G53" s="9">
        <v>5.4420201458519024</v>
      </c>
      <c r="H53" s="4">
        <v>23.2</v>
      </c>
    </row>
    <row r="54" spans="1:8" ht="18" x14ac:dyDescent="0.2">
      <c r="A54" s="2">
        <v>2019</v>
      </c>
      <c r="B54" s="3" t="s">
        <v>24</v>
      </c>
      <c r="C54" s="7">
        <v>5226764</v>
      </c>
      <c r="E54" s="7">
        <v>741635</v>
      </c>
      <c r="F54" s="5">
        <v>189889</v>
      </c>
      <c r="G54" s="9">
        <v>5.8701902172909532</v>
      </c>
      <c r="H54" s="4">
        <v>15.2</v>
      </c>
    </row>
    <row r="55" spans="1:8" ht="18" x14ac:dyDescent="0.2">
      <c r="A55" s="2">
        <v>2019</v>
      </c>
      <c r="B55" s="3" t="s">
        <v>25</v>
      </c>
      <c r="C55" s="7">
        <v>151044</v>
      </c>
      <c r="E55" s="7">
        <v>24016</v>
      </c>
      <c r="F55" s="5">
        <v>78574</v>
      </c>
      <c r="G55" s="9">
        <v>4.3805006748991948</v>
      </c>
      <c r="H55" s="4">
        <v>9.1999999999999993</v>
      </c>
    </row>
    <row r="56" spans="1:8" ht="18" x14ac:dyDescent="0.2">
      <c r="A56" s="2">
        <v>2019</v>
      </c>
      <c r="B56" s="3" t="s">
        <v>26</v>
      </c>
      <c r="C56" s="7">
        <v>360243</v>
      </c>
      <c r="E56" s="7">
        <v>16867</v>
      </c>
      <c r="F56" s="5">
        <v>95422</v>
      </c>
      <c r="G56" s="9">
        <v>4.2270378449302255</v>
      </c>
      <c r="H56" s="4">
        <v>22.2</v>
      </c>
    </row>
    <row r="57" spans="1:8" ht="18" x14ac:dyDescent="0.2">
      <c r="A57" s="2">
        <v>2019</v>
      </c>
      <c r="B57" s="3" t="s">
        <v>27</v>
      </c>
      <c r="C57" s="7">
        <v>93584</v>
      </c>
      <c r="E57" s="7">
        <v>11623</v>
      </c>
      <c r="F57" s="5">
        <v>195365</v>
      </c>
      <c r="G57" s="9">
        <v>4.0653182378037371</v>
      </c>
      <c r="H57" s="4">
        <v>20.399999999999999</v>
      </c>
    </row>
    <row r="58" spans="1:8" ht="18" x14ac:dyDescent="0.2">
      <c r="A58" s="2">
        <v>2019</v>
      </c>
      <c r="B58" s="3" t="s">
        <v>28</v>
      </c>
      <c r="C58" s="7">
        <v>108132</v>
      </c>
      <c r="E58" s="7">
        <v>10738</v>
      </c>
      <c r="F58" s="5">
        <v>122759</v>
      </c>
      <c r="G58" s="9">
        <v>4.0309233996272189</v>
      </c>
      <c r="H58" s="4">
        <v>21.2</v>
      </c>
    </row>
    <row r="59" spans="1:8" ht="18" x14ac:dyDescent="0.2">
      <c r="A59" s="2">
        <v>2019</v>
      </c>
      <c r="B59" s="3" t="s">
        <v>29</v>
      </c>
      <c r="C59" s="7">
        <v>4331906</v>
      </c>
      <c r="E59" s="7">
        <v>258451</v>
      </c>
      <c r="F59" s="5">
        <v>104633</v>
      </c>
      <c r="G59" s="9">
        <v>5.4123782168815069</v>
      </c>
      <c r="H59" s="4">
        <v>23.6</v>
      </c>
    </row>
    <row r="60" spans="1:8" ht="18" x14ac:dyDescent="0.2">
      <c r="A60" s="2">
        <v>2019</v>
      </c>
      <c r="B60" s="3" t="s">
        <v>30</v>
      </c>
      <c r="C60" s="7">
        <v>47098</v>
      </c>
      <c r="E60" s="7">
        <v>12053</v>
      </c>
      <c r="F60" s="5">
        <v>217937</v>
      </c>
      <c r="G60" s="9">
        <v>4.0810951565613403</v>
      </c>
      <c r="H60" s="4">
        <v>7.9</v>
      </c>
    </row>
    <row r="61" spans="1:8" ht="18" x14ac:dyDescent="0.2">
      <c r="A61" s="2">
        <v>2019</v>
      </c>
      <c r="B61" s="3" t="s">
        <v>31</v>
      </c>
      <c r="C61" s="7">
        <v>1593060</v>
      </c>
      <c r="E61" s="7">
        <v>220038</v>
      </c>
      <c r="F61" s="5">
        <v>154385</v>
      </c>
      <c r="G61" s="9">
        <v>5.3424976888458469</v>
      </c>
      <c r="H61" s="4">
        <v>1.6</v>
      </c>
    </row>
    <row r="62" spans="1:8" ht="18" x14ac:dyDescent="0.2">
      <c r="A62" s="2">
        <v>2019</v>
      </c>
      <c r="B62" s="3" t="s">
        <v>32</v>
      </c>
      <c r="C62" s="7">
        <v>6143364</v>
      </c>
      <c r="E62" s="7">
        <v>471714</v>
      </c>
      <c r="F62" s="5">
        <v>115534</v>
      </c>
      <c r="G62" s="9">
        <v>5.6736787658630856</v>
      </c>
      <c r="H62" s="4">
        <v>12.3</v>
      </c>
    </row>
    <row r="63" spans="1:8" ht="18" x14ac:dyDescent="0.2">
      <c r="A63" s="2">
        <v>2019</v>
      </c>
      <c r="B63" s="3" t="s">
        <v>33</v>
      </c>
      <c r="C63" s="7">
        <v>48564</v>
      </c>
      <c r="E63" s="7">
        <v>8304</v>
      </c>
      <c r="F63" s="5">
        <v>412627</v>
      </c>
      <c r="G63" s="9">
        <v>3.9192873405043827</v>
      </c>
      <c r="H63" s="4">
        <v>23.2</v>
      </c>
    </row>
    <row r="64" spans="1:8" ht="18" x14ac:dyDescent="0.2">
      <c r="A64" s="2">
        <v>2019</v>
      </c>
      <c r="B64" s="3" t="s">
        <v>34</v>
      </c>
      <c r="C64" s="7">
        <v>2987385</v>
      </c>
      <c r="E64" s="7">
        <v>453174</v>
      </c>
      <c r="F64" s="5">
        <v>206165</v>
      </c>
      <c r="G64" s="9">
        <v>5.6562649850827054</v>
      </c>
      <c r="H64" s="4">
        <v>9.6</v>
      </c>
    </row>
    <row r="65" spans="1:8" ht="18" x14ac:dyDescent="0.2">
      <c r="A65" s="2">
        <v>2019</v>
      </c>
      <c r="B65" s="3" t="s">
        <v>35</v>
      </c>
      <c r="C65" s="7">
        <v>2030693</v>
      </c>
      <c r="E65" s="7">
        <v>280145</v>
      </c>
      <c r="F65" s="5">
        <v>231326</v>
      </c>
      <c r="G65" s="9">
        <v>5.4473828756281897</v>
      </c>
      <c r="H65" s="4">
        <v>12.3</v>
      </c>
    </row>
    <row r="66" spans="1:8" ht="18" x14ac:dyDescent="0.2">
      <c r="A66" s="2">
        <v>2019</v>
      </c>
      <c r="B66" s="3" t="s">
        <v>36</v>
      </c>
      <c r="C66" s="7">
        <v>408024</v>
      </c>
      <c r="E66" s="7">
        <v>17973</v>
      </c>
      <c r="F66" s="5">
        <v>121456</v>
      </c>
      <c r="G66" s="9">
        <v>4.2546205743100272</v>
      </c>
      <c r="H66" s="4">
        <v>26.7</v>
      </c>
    </row>
    <row r="67" spans="1:8" ht="18" x14ac:dyDescent="0.2">
      <c r="A67" s="2">
        <v>2019</v>
      </c>
      <c r="B67" s="3" t="s">
        <v>37</v>
      </c>
      <c r="C67" s="7">
        <v>16293716</v>
      </c>
      <c r="E67" s="7">
        <v>486987</v>
      </c>
      <c r="F67" s="5">
        <v>74141</v>
      </c>
      <c r="G67" s="9">
        <v>5.6875173679833795</v>
      </c>
      <c r="H67" s="4">
        <v>14.4</v>
      </c>
    </row>
    <row r="68" spans="1:8" ht="18" x14ac:dyDescent="0.2">
      <c r="A68" s="2">
        <v>2019</v>
      </c>
      <c r="B68" s="3" t="s">
        <v>38</v>
      </c>
      <c r="C68" s="7">
        <v>616343</v>
      </c>
      <c r="E68" s="7">
        <v>74218</v>
      </c>
      <c r="F68" s="5">
        <v>190558</v>
      </c>
      <c r="G68" s="9">
        <v>4.8705092469587772</v>
      </c>
      <c r="H68" s="4">
        <v>8.4</v>
      </c>
    </row>
    <row r="69" spans="1:8" ht="18" x14ac:dyDescent="0.2">
      <c r="A69" s="2">
        <v>2019</v>
      </c>
      <c r="B69" s="3" t="s">
        <v>39</v>
      </c>
      <c r="C69" s="7">
        <v>10422554</v>
      </c>
      <c r="E69" s="7">
        <v>162991</v>
      </c>
      <c r="F69" s="5">
        <v>110316</v>
      </c>
      <c r="G69" s="9">
        <v>5.2121636242920033</v>
      </c>
      <c r="H69" s="4">
        <v>13.8</v>
      </c>
    </row>
    <row r="70" spans="1:8" ht="18" x14ac:dyDescent="0.2">
      <c r="A70" s="2">
        <v>2020</v>
      </c>
      <c r="B70" s="3" t="s">
        <v>6</v>
      </c>
      <c r="C70" s="7">
        <v>49943</v>
      </c>
      <c r="E70" s="7">
        <v>6644</v>
      </c>
      <c r="F70" s="5">
        <v>205368</v>
      </c>
      <c r="G70" s="9">
        <v>3.8224296237793567</v>
      </c>
      <c r="H70" s="4">
        <v>7.2</v>
      </c>
    </row>
    <row r="71" spans="1:8" ht="18" x14ac:dyDescent="0.2">
      <c r="A71" s="2">
        <v>2020</v>
      </c>
      <c r="B71" s="3" t="s">
        <v>7</v>
      </c>
      <c r="C71" s="7">
        <v>4627208</v>
      </c>
      <c r="E71" s="7">
        <v>473950</v>
      </c>
      <c r="F71" s="5">
        <v>168063</v>
      </c>
      <c r="G71" s="9">
        <v>5.6757325276034791</v>
      </c>
      <c r="H71" s="4">
        <v>16.7</v>
      </c>
    </row>
    <row r="72" spans="1:8" ht="18" x14ac:dyDescent="0.2">
      <c r="A72" s="2">
        <v>2020</v>
      </c>
      <c r="B72" s="3" t="s">
        <v>8</v>
      </c>
      <c r="C72" s="7">
        <v>234914</v>
      </c>
      <c r="E72" s="7">
        <v>61748</v>
      </c>
      <c r="F72" s="5">
        <v>181537</v>
      </c>
      <c r="G72" s="9">
        <v>4.7906228954858685</v>
      </c>
      <c r="H72" s="4">
        <v>10.7</v>
      </c>
    </row>
    <row r="73" spans="1:8" ht="18" x14ac:dyDescent="0.2">
      <c r="A73" s="2">
        <v>2020</v>
      </c>
      <c r="B73" s="3" t="s">
        <v>9</v>
      </c>
      <c r="C73" s="7">
        <v>5097436</v>
      </c>
      <c r="E73" s="7">
        <v>385780</v>
      </c>
      <c r="F73" s="5">
        <v>86947</v>
      </c>
      <c r="G73" s="9">
        <v>5.5863397087542488</v>
      </c>
      <c r="H73" s="4">
        <v>31</v>
      </c>
    </row>
    <row r="74" spans="1:8" ht="18" x14ac:dyDescent="0.2">
      <c r="A74" s="2">
        <v>2020</v>
      </c>
      <c r="B74" s="3" t="s">
        <v>10</v>
      </c>
      <c r="C74" s="7">
        <v>20874968</v>
      </c>
      <c r="E74" s="7">
        <v>691231</v>
      </c>
      <c r="F74" s="5">
        <v>42083</v>
      </c>
      <c r="G74" s="9">
        <v>5.8396232069405132</v>
      </c>
      <c r="H74" s="4">
        <v>17.600000000000001</v>
      </c>
    </row>
    <row r="75" spans="1:8" ht="18" x14ac:dyDescent="0.2">
      <c r="A75" s="2">
        <v>2020</v>
      </c>
      <c r="B75" s="3" t="s">
        <v>11</v>
      </c>
      <c r="C75" s="7">
        <v>153489</v>
      </c>
      <c r="E75" s="7">
        <v>6543</v>
      </c>
      <c r="F75" s="5">
        <v>290454</v>
      </c>
      <c r="G75" s="9">
        <v>3.8157769202983629</v>
      </c>
      <c r="H75" s="4">
        <v>1.6</v>
      </c>
    </row>
    <row r="76" spans="1:8" ht="18" x14ac:dyDescent="0.2">
      <c r="A76" s="2">
        <v>2020</v>
      </c>
      <c r="B76" s="3" t="s">
        <v>12</v>
      </c>
      <c r="C76" s="7">
        <v>4042244</v>
      </c>
      <c r="E76" s="7">
        <v>441167</v>
      </c>
      <c r="F76" s="5">
        <v>106117</v>
      </c>
      <c r="G76" s="9">
        <v>5.6446030190584811</v>
      </c>
      <c r="H76" s="4">
        <v>13.6</v>
      </c>
    </row>
    <row r="77" spans="1:8" ht="18" x14ac:dyDescent="0.2">
      <c r="A77" s="2">
        <v>2020</v>
      </c>
      <c r="B77" s="3" t="s">
        <v>13</v>
      </c>
      <c r="C77" s="7">
        <v>2542240</v>
      </c>
      <c r="E77" s="7">
        <v>480282</v>
      </c>
      <c r="F77" s="5">
        <v>322311</v>
      </c>
      <c r="G77" s="9">
        <v>5.68149631046332</v>
      </c>
      <c r="H77" s="4">
        <v>8.8000000000000007</v>
      </c>
    </row>
    <row r="78" spans="1:8" ht="18" x14ac:dyDescent="0.2">
      <c r="A78" s="2">
        <v>2020</v>
      </c>
      <c r="B78" s="3" t="s">
        <v>14</v>
      </c>
      <c r="C78" s="7">
        <v>42857</v>
      </c>
      <c r="E78" s="7">
        <v>39405</v>
      </c>
      <c r="F78" s="5">
        <v>423047</v>
      </c>
      <c r="G78" s="9">
        <v>4.5955513318417518</v>
      </c>
      <c r="H78" s="4">
        <v>5.9</v>
      </c>
    </row>
    <row r="79" spans="1:8" ht="18" x14ac:dyDescent="0.2">
      <c r="A79" s="2">
        <v>2020</v>
      </c>
      <c r="B79" s="3" t="s">
        <v>15</v>
      </c>
      <c r="C79" s="7">
        <v>5334822</v>
      </c>
      <c r="E79" s="7">
        <v>589409</v>
      </c>
      <c r="F79" s="5">
        <v>207324</v>
      </c>
      <c r="G79" s="9">
        <v>5.7704167630383303</v>
      </c>
      <c r="H79" s="4">
        <v>23.3</v>
      </c>
    </row>
    <row r="80" spans="1:8" ht="18" x14ac:dyDescent="0.2">
      <c r="A80" s="2">
        <v>2020</v>
      </c>
      <c r="B80" s="3" t="s">
        <v>16</v>
      </c>
      <c r="C80" s="7">
        <v>2232333</v>
      </c>
      <c r="E80" s="7">
        <v>329604</v>
      </c>
      <c r="F80" s="5">
        <v>224587</v>
      </c>
      <c r="G80" s="9">
        <v>5.5179924735571975</v>
      </c>
      <c r="H80" s="4">
        <v>14.3</v>
      </c>
    </row>
    <row r="81" spans="1:8" ht="18" x14ac:dyDescent="0.2">
      <c r="A81" s="2">
        <v>2020</v>
      </c>
      <c r="B81" s="3" t="s">
        <v>17</v>
      </c>
      <c r="C81" s="7">
        <v>847735</v>
      </c>
      <c r="E81" s="7">
        <v>53360</v>
      </c>
      <c r="F81" s="5">
        <v>173152</v>
      </c>
      <c r="G81" s="9">
        <v>4.7272158209084925</v>
      </c>
      <c r="H81" s="4">
        <v>7.7</v>
      </c>
    </row>
    <row r="82" spans="1:8" ht="18" x14ac:dyDescent="0.2">
      <c r="A82" s="2">
        <v>2020</v>
      </c>
      <c r="B82" s="3" t="s">
        <v>18</v>
      </c>
      <c r="C82" s="7">
        <f>14495+1324301</f>
        <v>1338796</v>
      </c>
      <c r="E82" s="7">
        <f>1583+138642</f>
        <v>140225</v>
      </c>
      <c r="F82" s="5">
        <v>101645</v>
      </c>
      <c r="G82" s="9">
        <v>5.1468254486815539</v>
      </c>
      <c r="H82" s="4">
        <v>3.5</v>
      </c>
    </row>
    <row r="83" spans="1:8" ht="18" x14ac:dyDescent="0.2">
      <c r="A83" s="2">
        <v>2020</v>
      </c>
      <c r="B83" s="3" t="s">
        <v>19</v>
      </c>
      <c r="C83" s="7">
        <v>4873009</v>
      </c>
      <c r="E83" s="7">
        <v>361327</v>
      </c>
      <c r="F83" s="5">
        <v>69963</v>
      </c>
      <c r="G83" s="9">
        <v>5.5579004152433393</v>
      </c>
      <c r="H83" s="4">
        <v>13.4</v>
      </c>
    </row>
    <row r="84" spans="1:8" ht="18" x14ac:dyDescent="0.2">
      <c r="A84" s="2">
        <v>2020</v>
      </c>
      <c r="B84" s="3" t="s">
        <v>20</v>
      </c>
      <c r="C84" s="7">
        <v>5031606</v>
      </c>
      <c r="E84" s="7">
        <v>545645</v>
      </c>
      <c r="F84" s="5">
        <v>221781</v>
      </c>
      <c r="G84" s="9">
        <v>5.7369101799141591</v>
      </c>
      <c r="H84" s="4">
        <v>16.7</v>
      </c>
    </row>
    <row r="85" spans="1:8" ht="18" x14ac:dyDescent="0.2">
      <c r="A85" s="2">
        <v>2020</v>
      </c>
      <c r="B85" s="3" t="s">
        <v>21</v>
      </c>
      <c r="C85" s="7">
        <v>1757209</v>
      </c>
      <c r="E85" s="7">
        <v>239077</v>
      </c>
      <c r="F85" s="5">
        <v>194432</v>
      </c>
      <c r="G85" s="9">
        <v>5.3785377975564064</v>
      </c>
      <c r="H85" s="4">
        <v>3.4</v>
      </c>
    </row>
    <row r="86" spans="1:8" ht="18" x14ac:dyDescent="0.2">
      <c r="A86" s="2">
        <v>2020</v>
      </c>
      <c r="B86" s="3" t="s">
        <v>22</v>
      </c>
      <c r="C86" s="7">
        <v>13114</v>
      </c>
      <c r="E86" s="7">
        <v>55422</v>
      </c>
      <c r="F86" s="6">
        <v>174600</v>
      </c>
      <c r="G86" s="9">
        <v>4.7436821940065039</v>
      </c>
      <c r="H86" s="4">
        <v>0</v>
      </c>
    </row>
    <row r="87" spans="1:8" ht="18" x14ac:dyDescent="0.2">
      <c r="A87" s="2">
        <v>2020</v>
      </c>
      <c r="B87" s="3" t="s">
        <v>23</v>
      </c>
      <c r="C87" s="7">
        <v>8904779</v>
      </c>
      <c r="E87" s="7">
        <v>513087</v>
      </c>
      <c r="F87" s="5">
        <v>102007</v>
      </c>
      <c r="G87" s="9">
        <v>5.7101910111477103</v>
      </c>
      <c r="H87" s="4">
        <v>26.1</v>
      </c>
    </row>
    <row r="88" spans="1:8" ht="18" x14ac:dyDescent="0.2">
      <c r="A88" s="2">
        <v>2020</v>
      </c>
      <c r="B88" s="3" t="s">
        <v>24</v>
      </c>
      <c r="C88" s="7">
        <v>5594726</v>
      </c>
      <c r="E88" s="7">
        <v>1243981</v>
      </c>
      <c r="F88" s="5">
        <v>183704</v>
      </c>
      <c r="G88" s="9">
        <v>6.0948137471890673</v>
      </c>
      <c r="H88" s="4">
        <v>11.3</v>
      </c>
    </row>
    <row r="89" spans="1:8" ht="18" x14ac:dyDescent="0.2">
      <c r="A89" s="2">
        <v>2020</v>
      </c>
      <c r="B89" s="3" t="s">
        <v>25</v>
      </c>
      <c r="C89" s="7">
        <v>201758</v>
      </c>
      <c r="E89" s="7">
        <v>41908</v>
      </c>
      <c r="F89" s="5">
        <v>75784</v>
      </c>
      <c r="G89" s="9">
        <v>4.6222969352387704</v>
      </c>
      <c r="H89" s="4">
        <v>9.4</v>
      </c>
    </row>
    <row r="90" spans="1:8" ht="18" x14ac:dyDescent="0.2">
      <c r="A90" s="2">
        <v>2020</v>
      </c>
      <c r="B90" s="3" t="s">
        <v>26</v>
      </c>
      <c r="C90" s="7">
        <v>482425</v>
      </c>
      <c r="E90" s="7">
        <v>24479</v>
      </c>
      <c r="F90" s="5">
        <v>90751</v>
      </c>
      <c r="G90" s="9">
        <v>4.3887936723235015</v>
      </c>
      <c r="H90" s="4">
        <v>27.9</v>
      </c>
    </row>
    <row r="91" spans="1:8" ht="18" x14ac:dyDescent="0.2">
      <c r="A91" s="2">
        <v>2020</v>
      </c>
      <c r="B91" s="3" t="s">
        <v>27</v>
      </c>
      <c r="C91" s="7">
        <v>132230</v>
      </c>
      <c r="E91" s="7">
        <v>19688</v>
      </c>
      <c r="F91" s="5">
        <v>173521</v>
      </c>
      <c r="G91" s="9">
        <v>4.2942016006947465</v>
      </c>
      <c r="H91" s="4">
        <v>20.100000000000001</v>
      </c>
    </row>
    <row r="92" spans="1:8" ht="18" x14ac:dyDescent="0.2">
      <c r="A92" s="2">
        <v>2020</v>
      </c>
      <c r="B92" s="3" t="s">
        <v>28</v>
      </c>
      <c r="C92" s="7">
        <v>171747</v>
      </c>
      <c r="E92" s="7">
        <v>18635</v>
      </c>
      <c r="F92" s="5">
        <v>119781</v>
      </c>
      <c r="G92" s="9">
        <v>4.2703293970898581</v>
      </c>
      <c r="H92" s="4">
        <v>24.4</v>
      </c>
    </row>
    <row r="93" spans="1:8" ht="18" x14ac:dyDescent="0.2">
      <c r="A93" s="2">
        <v>2020</v>
      </c>
      <c r="B93" s="3" t="s">
        <v>29</v>
      </c>
      <c r="C93" s="7">
        <v>5213350</v>
      </c>
      <c r="E93" s="7">
        <v>415396</v>
      </c>
      <c r="F93" s="5">
        <v>103203</v>
      </c>
      <c r="G93" s="9">
        <v>5.6184623102388214</v>
      </c>
      <c r="H93" s="4">
        <v>16</v>
      </c>
    </row>
    <row r="94" spans="1:8" ht="18" x14ac:dyDescent="0.2">
      <c r="A94" s="2">
        <v>2020</v>
      </c>
      <c r="B94" s="3" t="s">
        <v>30</v>
      </c>
      <c r="C94" s="7">
        <v>87867</v>
      </c>
      <c r="E94" s="7">
        <v>15995</v>
      </c>
      <c r="F94" s="5">
        <v>208862</v>
      </c>
      <c r="G94" s="9">
        <v>4.2039842444201261</v>
      </c>
      <c r="H94" s="4">
        <v>6.9</v>
      </c>
    </row>
    <row r="95" spans="1:8" ht="18" x14ac:dyDescent="0.2">
      <c r="A95" s="2">
        <v>2020</v>
      </c>
      <c r="B95" s="3" t="s">
        <v>31</v>
      </c>
      <c r="C95" s="7">
        <v>2876825</v>
      </c>
      <c r="E95" s="7">
        <v>289864</v>
      </c>
      <c r="F95" s="5">
        <v>150620</v>
      </c>
      <c r="G95" s="9">
        <v>5.4621942809907784</v>
      </c>
      <c r="H95" s="4">
        <v>9</v>
      </c>
    </row>
    <row r="96" spans="1:8" ht="18" x14ac:dyDescent="0.2">
      <c r="A96" s="2">
        <v>2020</v>
      </c>
      <c r="B96" s="3" t="s">
        <v>32</v>
      </c>
      <c r="C96" s="7">
        <v>8955632</v>
      </c>
      <c r="E96" s="7">
        <v>744476</v>
      </c>
      <c r="F96" s="5">
        <v>114850</v>
      </c>
      <c r="G96" s="9">
        <v>5.8718507017717805</v>
      </c>
      <c r="H96" s="4">
        <v>8.9</v>
      </c>
    </row>
    <row r="97" spans="1:8" ht="18" x14ac:dyDescent="0.2">
      <c r="A97" s="2">
        <v>2020</v>
      </c>
      <c r="B97" s="3" t="s">
        <v>33</v>
      </c>
      <c r="C97" s="7">
        <v>85980</v>
      </c>
      <c r="E97" s="7">
        <v>15001</v>
      </c>
      <c r="F97" s="5">
        <v>415045</v>
      </c>
      <c r="G97" s="9">
        <v>4.1761202110560856</v>
      </c>
      <c r="H97" s="4">
        <v>23.9</v>
      </c>
    </row>
    <row r="98" spans="1:8" ht="18" x14ac:dyDescent="0.2">
      <c r="A98" s="2">
        <v>2020</v>
      </c>
      <c r="B98" s="3" t="s">
        <v>34</v>
      </c>
      <c r="C98" s="7">
        <v>4775207</v>
      </c>
      <c r="E98" s="7">
        <v>660636</v>
      </c>
      <c r="F98" s="5">
        <v>209628</v>
      </c>
      <c r="G98" s="9">
        <v>5.819962235984752</v>
      </c>
      <c r="H98" s="4">
        <v>6.4</v>
      </c>
    </row>
    <row r="99" spans="1:8" ht="18" x14ac:dyDescent="0.2">
      <c r="A99" s="2">
        <v>2020</v>
      </c>
      <c r="B99" s="3" t="s">
        <v>35</v>
      </c>
      <c r="C99" s="7">
        <v>2896974</v>
      </c>
      <c r="E99" s="7">
        <v>424294</v>
      </c>
      <c r="F99" s="5">
        <v>225734</v>
      </c>
      <c r="G99" s="9">
        <v>5.6276668903918443</v>
      </c>
      <c r="H99" s="4">
        <v>13.9</v>
      </c>
    </row>
    <row r="100" spans="1:8" ht="18" x14ac:dyDescent="0.2">
      <c r="A100" s="2">
        <v>2020</v>
      </c>
      <c r="B100" s="3" t="s">
        <v>36</v>
      </c>
      <c r="C100" s="7">
        <v>536724</v>
      </c>
      <c r="E100" s="7">
        <v>35058</v>
      </c>
      <c r="F100" s="5">
        <v>118401</v>
      </c>
      <c r="G100" s="9">
        <v>4.5447871366939108</v>
      </c>
      <c r="H100" s="4">
        <v>29.8</v>
      </c>
    </row>
    <row r="101" spans="1:8" ht="18" x14ac:dyDescent="0.2">
      <c r="A101" s="2">
        <v>2020</v>
      </c>
      <c r="B101" s="3" t="s">
        <v>37</v>
      </c>
      <c r="C101" s="7">
        <v>17576345</v>
      </c>
      <c r="E101" s="7">
        <v>1076219</v>
      </c>
      <c r="F101" s="5">
        <v>71307</v>
      </c>
      <c r="G101" s="9">
        <v>6.0319006549863694</v>
      </c>
      <c r="H101" s="4">
        <v>12.3</v>
      </c>
    </row>
    <row r="102" spans="1:8" ht="18" x14ac:dyDescent="0.2">
      <c r="A102" s="2">
        <v>2020</v>
      </c>
      <c r="B102" s="3" t="s">
        <v>38</v>
      </c>
      <c r="C102" s="7">
        <v>916631</v>
      </c>
      <c r="E102" s="7">
        <v>108168</v>
      </c>
      <c r="F102" s="5">
        <v>174526</v>
      </c>
      <c r="G102" s="9">
        <v>5.0340987997825835</v>
      </c>
      <c r="H102" s="4">
        <v>9.1</v>
      </c>
    </row>
    <row r="103" spans="1:8" ht="18" x14ac:dyDescent="0.2">
      <c r="A103" s="2">
        <v>2020</v>
      </c>
      <c r="B103" s="3" t="s">
        <v>39</v>
      </c>
      <c r="C103" s="7">
        <v>16303026</v>
      </c>
      <c r="E103" s="7">
        <v>293121</v>
      </c>
      <c r="F103" s="5">
        <v>141373</v>
      </c>
      <c r="G103" s="9">
        <v>5.4670469336121457</v>
      </c>
      <c r="H103" s="4">
        <v>15.7</v>
      </c>
    </row>
    <row r="104" spans="1:8" ht="18" x14ac:dyDescent="0.2">
      <c r="A104" s="2">
        <v>2021</v>
      </c>
      <c r="B104" s="3" t="s">
        <v>6</v>
      </c>
      <c r="C104" s="7">
        <v>51168</v>
      </c>
      <c r="E104" s="7">
        <v>416</v>
      </c>
      <c r="F104" s="5">
        <v>229570</v>
      </c>
      <c r="G104" s="9">
        <v>2.6190933306267428</v>
      </c>
      <c r="H104" s="7">
        <v>5</v>
      </c>
    </row>
    <row r="105" spans="1:8" ht="18" x14ac:dyDescent="0.2">
      <c r="A105" s="2">
        <v>2021</v>
      </c>
      <c r="B105" s="3" t="s">
        <v>7</v>
      </c>
      <c r="C105" s="7">
        <v>4696207</v>
      </c>
      <c r="E105" s="7">
        <v>61948</v>
      </c>
      <c r="F105" s="5">
        <v>197214</v>
      </c>
      <c r="G105" s="9">
        <v>4.7920272896792344</v>
      </c>
      <c r="H105" s="7">
        <v>16.3</v>
      </c>
    </row>
    <row r="106" spans="1:8" ht="18" x14ac:dyDescent="0.2">
      <c r="A106" s="2">
        <v>2021</v>
      </c>
      <c r="B106" s="3" t="s">
        <v>8</v>
      </c>
      <c r="C106" s="7">
        <v>233908</v>
      </c>
      <c r="E106" s="7">
        <v>3603</v>
      </c>
      <c r="F106" s="5">
        <v>190851</v>
      </c>
      <c r="G106" s="9">
        <v>3.5566642621225686</v>
      </c>
      <c r="H106" s="7">
        <v>11.7</v>
      </c>
    </row>
    <row r="107" spans="1:8" ht="18" x14ac:dyDescent="0.2">
      <c r="A107" s="2">
        <v>2021</v>
      </c>
      <c r="B107" s="3" t="s">
        <v>9</v>
      </c>
      <c r="C107" s="7">
        <v>5277671</v>
      </c>
      <c r="E107" s="7">
        <v>60859</v>
      </c>
      <c r="F107" s="5">
        <v>103371</v>
      </c>
      <c r="G107" s="9">
        <v>4.7843248120042396</v>
      </c>
      <c r="H107" s="7">
        <v>20.3</v>
      </c>
    </row>
    <row r="108" spans="1:8" ht="18" x14ac:dyDescent="0.2">
      <c r="A108" s="2">
        <v>2021</v>
      </c>
      <c r="B108" s="3" t="s">
        <v>10</v>
      </c>
      <c r="C108" s="7">
        <v>21989445</v>
      </c>
      <c r="E108" s="7">
        <v>93165</v>
      </c>
      <c r="F108" s="5">
        <v>53478</v>
      </c>
      <c r="G108" s="9">
        <v>4.9692527883012323</v>
      </c>
      <c r="H108" s="7">
        <v>20.5</v>
      </c>
    </row>
    <row r="109" spans="1:8" ht="18" x14ac:dyDescent="0.2">
      <c r="A109" s="2">
        <v>2021</v>
      </c>
      <c r="B109" s="3" t="s">
        <v>11</v>
      </c>
      <c r="C109" s="7">
        <v>165156</v>
      </c>
      <c r="E109" s="7">
        <v>233</v>
      </c>
      <c r="F109" s="5">
        <v>337406</v>
      </c>
      <c r="G109" s="9">
        <v>2.3673559210260189</v>
      </c>
      <c r="H109" s="7">
        <v>0</v>
      </c>
    </row>
    <row r="110" spans="1:8" ht="18" x14ac:dyDescent="0.2">
      <c r="A110" s="2">
        <v>2021</v>
      </c>
      <c r="B110" s="3" t="s">
        <v>12</v>
      </c>
      <c r="C110" s="7">
        <v>4262053</v>
      </c>
      <c r="E110" s="7">
        <v>56512</v>
      </c>
      <c r="F110" s="5">
        <v>122934</v>
      </c>
      <c r="G110" s="9">
        <v>4.7521406775614556</v>
      </c>
      <c r="H110" s="7">
        <v>9.6999999999999993</v>
      </c>
    </row>
    <row r="111" spans="1:8" ht="18" x14ac:dyDescent="0.2">
      <c r="A111" s="2">
        <v>2021</v>
      </c>
      <c r="B111" s="3" t="s">
        <v>13</v>
      </c>
      <c r="C111" s="7">
        <v>2796676</v>
      </c>
      <c r="E111" s="7">
        <v>5619</v>
      </c>
      <c r="F111" s="5">
        <v>376217</v>
      </c>
      <c r="G111" s="9">
        <v>3.7496590320948999</v>
      </c>
      <c r="H111" s="7">
        <v>4.8</v>
      </c>
    </row>
    <row r="112" spans="1:8" ht="18" x14ac:dyDescent="0.2">
      <c r="A112" s="2">
        <v>2021</v>
      </c>
      <c r="B112" s="3" t="s">
        <v>14</v>
      </c>
      <c r="C112" s="7">
        <v>42932</v>
      </c>
      <c r="E112" s="7">
        <v>1510</v>
      </c>
      <c r="F112" s="5">
        <v>459094</v>
      </c>
      <c r="G112" s="9">
        <v>3.1789769472931693</v>
      </c>
      <c r="H112" s="7">
        <v>9</v>
      </c>
    </row>
    <row r="113" spans="1:8" ht="18" x14ac:dyDescent="0.2">
      <c r="A113" s="2">
        <v>2021</v>
      </c>
      <c r="B113" s="3" t="s">
        <v>15</v>
      </c>
      <c r="C113" s="7">
        <v>5570875</v>
      </c>
      <c r="E113" s="7">
        <v>53851</v>
      </c>
      <c r="F113" s="5">
        <v>241584</v>
      </c>
      <c r="G113" s="9">
        <v>4.7311937724520039</v>
      </c>
      <c r="H113" s="7">
        <v>17.899999999999999</v>
      </c>
    </row>
    <row r="114" spans="1:8" ht="18" x14ac:dyDescent="0.2">
      <c r="A114" s="2">
        <v>2021</v>
      </c>
      <c r="B114" s="3" t="s">
        <v>16</v>
      </c>
      <c r="C114" s="7">
        <v>2602484</v>
      </c>
      <c r="E114" s="7">
        <v>23726</v>
      </c>
      <c r="F114" s="5">
        <v>264729</v>
      </c>
      <c r="G114" s="9">
        <v>4.3752245260657991</v>
      </c>
      <c r="H114" s="7">
        <v>5.9</v>
      </c>
    </row>
    <row r="115" spans="1:8" ht="18" x14ac:dyDescent="0.2">
      <c r="A115" s="2">
        <v>2021</v>
      </c>
      <c r="B115" s="3" t="s">
        <v>17</v>
      </c>
      <c r="C115" s="7">
        <v>900749</v>
      </c>
      <c r="E115" s="7">
        <v>18028</v>
      </c>
      <c r="F115" s="5">
        <v>195795</v>
      </c>
      <c r="G115" s="9">
        <v>4.2559475493989396</v>
      </c>
      <c r="H115" s="7">
        <v>1.5</v>
      </c>
    </row>
    <row r="116" spans="1:8" ht="18" x14ac:dyDescent="0.2">
      <c r="A116" s="2">
        <v>2021</v>
      </c>
      <c r="B116" s="3" t="s">
        <v>18</v>
      </c>
      <c r="C116" s="7">
        <f>29312+1473368</f>
        <v>1502680</v>
      </c>
      <c r="E116" s="7">
        <f>978978+28805</f>
        <v>1007783</v>
      </c>
      <c r="F116" s="5">
        <v>112898</v>
      </c>
      <c r="G116" s="9">
        <v>6.0033670280935114</v>
      </c>
      <c r="H116" s="7">
        <f>4.9+6</f>
        <v>10.9</v>
      </c>
    </row>
    <row r="117" spans="1:8" ht="18" x14ac:dyDescent="0.2">
      <c r="A117" s="2">
        <v>2021</v>
      </c>
      <c r="B117" s="3" t="s">
        <v>19</v>
      </c>
      <c r="C117" s="7">
        <v>5242868</v>
      </c>
      <c r="E117" s="7">
        <v>44855</v>
      </c>
      <c r="F117" s="5">
        <v>88500</v>
      </c>
      <c r="G117" s="9">
        <v>4.6518108610117208</v>
      </c>
      <c r="H117" s="7">
        <v>9.3000000000000007</v>
      </c>
    </row>
    <row r="118" spans="1:8" ht="18" x14ac:dyDescent="0.2">
      <c r="A118" s="2">
        <v>2021</v>
      </c>
      <c r="B118" s="3" t="s">
        <v>20</v>
      </c>
      <c r="C118" s="7">
        <v>5445989</v>
      </c>
      <c r="E118" s="7">
        <v>76450</v>
      </c>
      <c r="F118" s="5">
        <v>266866</v>
      </c>
      <c r="G118" s="9">
        <v>4.8833774897483391</v>
      </c>
      <c r="H118" s="7">
        <v>14.7</v>
      </c>
    </row>
    <row r="119" spans="1:8" ht="18" x14ac:dyDescent="0.2">
      <c r="A119" s="2">
        <v>2021</v>
      </c>
      <c r="B119" s="3" t="s">
        <v>21</v>
      </c>
      <c r="C119" s="7">
        <v>1862020</v>
      </c>
      <c r="E119" s="7">
        <v>16240</v>
      </c>
      <c r="F119" s="5">
        <v>230280</v>
      </c>
      <c r="G119" s="9">
        <v>4.2105860249051563</v>
      </c>
      <c r="H119" s="7">
        <v>5.5</v>
      </c>
    </row>
    <row r="120" spans="1:8" ht="18" x14ac:dyDescent="0.2">
      <c r="A120" s="2">
        <v>2021</v>
      </c>
      <c r="B120" s="3" t="s">
        <v>22</v>
      </c>
      <c r="C120" s="7">
        <v>13586</v>
      </c>
      <c r="E120" s="7">
        <v>8838</v>
      </c>
      <c r="F120" s="6">
        <v>180555</v>
      </c>
      <c r="G120" s="9">
        <v>3.9463539972262747</v>
      </c>
      <c r="H120" s="7">
        <v>0</v>
      </c>
    </row>
    <row r="121" spans="1:8" ht="18" x14ac:dyDescent="0.2">
      <c r="A121" s="2">
        <v>2021</v>
      </c>
      <c r="B121" s="3" t="s">
        <v>23</v>
      </c>
      <c r="C121" s="7">
        <v>9429734</v>
      </c>
      <c r="E121" s="7">
        <v>125582</v>
      </c>
      <c r="F121" s="5">
        <v>116689</v>
      </c>
      <c r="G121" s="9">
        <v>5.0989273952858536</v>
      </c>
      <c r="H121" s="7">
        <v>10.1</v>
      </c>
    </row>
    <row r="122" spans="1:8" ht="18" x14ac:dyDescent="0.2">
      <c r="A122" s="2">
        <v>2021</v>
      </c>
      <c r="B122" s="3" t="s">
        <v>24</v>
      </c>
      <c r="C122" s="7">
        <v>5853094</v>
      </c>
      <c r="E122" s="7">
        <v>109605</v>
      </c>
      <c r="F122" s="5">
        <v>219573</v>
      </c>
      <c r="G122" s="9">
        <v>5.0398303664008983</v>
      </c>
      <c r="H122" s="7">
        <v>10.7</v>
      </c>
    </row>
    <row r="123" spans="1:8" ht="18" x14ac:dyDescent="0.2">
      <c r="A123" s="2">
        <v>2021</v>
      </c>
      <c r="B123" s="3" t="s">
        <v>25</v>
      </c>
      <c r="C123" s="7">
        <v>216636</v>
      </c>
      <c r="E123" s="7">
        <v>4617</v>
      </c>
      <c r="F123" s="5">
        <v>98826</v>
      </c>
      <c r="G123" s="9">
        <v>3.664359874551141</v>
      </c>
      <c r="H123" s="7">
        <v>1.3</v>
      </c>
    </row>
    <row r="124" spans="1:8" ht="18" x14ac:dyDescent="0.2">
      <c r="A124" s="2">
        <v>2021</v>
      </c>
      <c r="B124" s="3" t="s">
        <v>26</v>
      </c>
      <c r="C124" s="7">
        <v>477232</v>
      </c>
      <c r="E124" s="7">
        <v>14600</v>
      </c>
      <c r="F124" s="5">
        <v>107971</v>
      </c>
      <c r="G124" s="9">
        <v>4.1643528557844371</v>
      </c>
      <c r="H124" s="7">
        <v>21.7</v>
      </c>
    </row>
    <row r="125" spans="1:8" ht="18" x14ac:dyDescent="0.2">
      <c r="A125" s="2">
        <v>2021</v>
      </c>
      <c r="B125" s="3" t="s">
        <v>27</v>
      </c>
      <c r="C125" s="7">
        <v>143345</v>
      </c>
      <c r="E125" s="7">
        <v>3911</v>
      </c>
      <c r="F125" s="5">
        <v>190965</v>
      </c>
      <c r="G125" s="9">
        <v>3.5922878159521305</v>
      </c>
      <c r="H125" s="7">
        <v>11.9</v>
      </c>
    </row>
    <row r="126" spans="1:8" ht="18" x14ac:dyDescent="0.2">
      <c r="A126" s="2">
        <v>2021</v>
      </c>
      <c r="B126" s="3" t="s">
        <v>28</v>
      </c>
      <c r="C126" s="7">
        <v>170219</v>
      </c>
      <c r="E126" s="7">
        <v>2718</v>
      </c>
      <c r="F126" s="5">
        <v>127225</v>
      </c>
      <c r="G126" s="9">
        <v>3.4342494523964757</v>
      </c>
      <c r="H126" s="7">
        <v>17.5</v>
      </c>
    </row>
    <row r="127" spans="1:8" ht="18" x14ac:dyDescent="0.2">
      <c r="A127" s="2">
        <v>2021</v>
      </c>
      <c r="B127" s="3" t="s">
        <v>29</v>
      </c>
      <c r="C127" s="7">
        <v>5255198</v>
      </c>
      <c r="E127" s="7">
        <v>62291</v>
      </c>
      <c r="F127" s="5">
        <v>134091</v>
      </c>
      <c r="G127" s="9">
        <v>4.7944253029562711</v>
      </c>
      <c r="H127" s="7">
        <v>27.3</v>
      </c>
    </row>
    <row r="128" spans="1:8" ht="18" x14ac:dyDescent="0.2">
      <c r="A128" s="2">
        <v>2021</v>
      </c>
      <c r="B128" s="3" t="s">
        <v>30</v>
      </c>
      <c r="C128" s="7">
        <v>97368</v>
      </c>
      <c r="E128" s="7">
        <v>736</v>
      </c>
      <c r="F128" s="5">
        <v>231557</v>
      </c>
      <c r="G128" s="9">
        <v>2.8668778143374989</v>
      </c>
      <c r="H128" s="7">
        <v>6.3</v>
      </c>
    </row>
    <row r="129" spans="1:8" ht="18" x14ac:dyDescent="0.2">
      <c r="A129" s="2">
        <v>2021</v>
      </c>
      <c r="B129" s="3" t="s">
        <v>31</v>
      </c>
      <c r="C129" s="7">
        <v>3090436</v>
      </c>
      <c r="E129" s="7">
        <v>27701</v>
      </c>
      <c r="F129" s="5">
        <v>170276</v>
      </c>
      <c r="G129" s="9">
        <v>4.4424954472826013</v>
      </c>
      <c r="H129" s="7">
        <v>17.2</v>
      </c>
    </row>
    <row r="130" spans="1:8" ht="18" x14ac:dyDescent="0.2">
      <c r="A130" s="2">
        <v>2021</v>
      </c>
      <c r="B130" s="3" t="s">
        <v>32</v>
      </c>
      <c r="C130" s="7">
        <v>9912280</v>
      </c>
      <c r="E130" s="7">
        <v>106373</v>
      </c>
      <c r="F130" s="5">
        <v>134060</v>
      </c>
      <c r="G130" s="9">
        <v>5.0268314076672223</v>
      </c>
      <c r="H130" s="7">
        <v>7.7</v>
      </c>
    </row>
    <row r="131" spans="1:8" ht="18" x14ac:dyDescent="0.2">
      <c r="A131" s="2">
        <v>2021</v>
      </c>
      <c r="B131" s="3" t="s">
        <v>33</v>
      </c>
      <c r="C131" s="7">
        <v>84411</v>
      </c>
      <c r="E131" s="7">
        <v>1259</v>
      </c>
      <c r="F131" s="5">
        <v>466518</v>
      </c>
      <c r="G131" s="9">
        <v>3.1000257301078626</v>
      </c>
      <c r="H131" s="7">
        <v>11.9</v>
      </c>
    </row>
    <row r="132" spans="1:8" ht="18" x14ac:dyDescent="0.2">
      <c r="A132" s="2">
        <v>2021</v>
      </c>
      <c r="B132" s="3" t="s">
        <v>34</v>
      </c>
      <c r="C132" s="7">
        <v>5314845</v>
      </c>
      <c r="E132" s="7">
        <v>58801</v>
      </c>
      <c r="F132" s="5">
        <v>242339</v>
      </c>
      <c r="G132" s="9">
        <v>4.7693847119739097</v>
      </c>
      <c r="H132" s="7">
        <v>4.5</v>
      </c>
    </row>
    <row r="133" spans="1:8" ht="18" x14ac:dyDescent="0.2">
      <c r="A133" s="2">
        <v>2021</v>
      </c>
      <c r="B133" s="3" t="s">
        <v>35</v>
      </c>
      <c r="C133" s="7">
        <v>3303699</v>
      </c>
      <c r="E133" s="7">
        <v>43083</v>
      </c>
      <c r="F133" s="5">
        <v>269000</v>
      </c>
      <c r="G133" s="9">
        <v>4.6343059369212734</v>
      </c>
      <c r="H133" s="7">
        <v>13.7</v>
      </c>
    </row>
    <row r="134" spans="1:8" ht="18" x14ac:dyDescent="0.2">
      <c r="A134" s="2">
        <v>2021</v>
      </c>
      <c r="B134" s="3" t="s">
        <v>36</v>
      </c>
      <c r="C134" s="7">
        <v>542892</v>
      </c>
      <c r="E134" s="7">
        <v>4929</v>
      </c>
      <c r="F134" s="5">
        <v>137032</v>
      </c>
      <c r="G134" s="9">
        <v>3.692758818154724</v>
      </c>
      <c r="H134" s="7">
        <v>8.3000000000000007</v>
      </c>
    </row>
    <row r="135" spans="1:8" ht="18" x14ac:dyDescent="0.2">
      <c r="A135" s="2">
        <v>2021</v>
      </c>
      <c r="B135" s="3" t="s">
        <v>37</v>
      </c>
      <c r="C135" s="7">
        <v>19056651</v>
      </c>
      <c r="E135" s="7">
        <v>258054</v>
      </c>
      <c r="F135" s="5">
        <v>81398</v>
      </c>
      <c r="G135" s="9">
        <v>5.4117105952969373</v>
      </c>
      <c r="H135" s="7">
        <v>9.6999999999999993</v>
      </c>
    </row>
    <row r="136" spans="1:8" ht="18" x14ac:dyDescent="0.2">
      <c r="A136" s="2">
        <v>2021</v>
      </c>
      <c r="B136" s="3" t="s">
        <v>38</v>
      </c>
      <c r="C136" s="7">
        <v>980808</v>
      </c>
      <c r="E136" s="7">
        <v>22815</v>
      </c>
      <c r="F136" s="5">
        <v>205246</v>
      </c>
      <c r="G136" s="9">
        <v>4.3582204731086795</v>
      </c>
      <c r="H136" s="7">
        <v>5</v>
      </c>
    </row>
    <row r="137" spans="1:8" ht="18" x14ac:dyDescent="0.2">
      <c r="A137" s="2">
        <v>2021</v>
      </c>
      <c r="B137" s="3" t="s">
        <v>39</v>
      </c>
      <c r="C137" s="7">
        <v>16564139</v>
      </c>
      <c r="E137" s="7">
        <v>94744</v>
      </c>
      <c r="F137" s="5">
        <v>121904</v>
      </c>
      <c r="G137" s="9">
        <v>4.9765517162717785</v>
      </c>
      <c r="H137" s="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Parminder Kaur Parminder Kaur</dc:creator>
  <cp:lastModifiedBy>Parminder Kaur Parminder Kaur</cp:lastModifiedBy>
  <dcterms:created xsi:type="dcterms:W3CDTF">2025-09-01T22:01:17Z</dcterms:created>
  <dcterms:modified xsi:type="dcterms:W3CDTF">2025-09-01T23:48:15Z</dcterms:modified>
</cp:coreProperties>
</file>